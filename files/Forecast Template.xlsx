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lakowski365.sharepoint.com/sites/Kolakowski.us-Finance/Shared Documents/"/>
    </mc:Choice>
  </mc:AlternateContent>
  <xr:revisionPtr revIDLastSave="1" documentId="8_{71F54C41-3511-481F-B808-533BF2235089}" xr6:coauthVersionLast="47" xr6:coauthVersionMax="47" xr10:uidLastSave="{30367FCD-359E-49AD-8F5A-E881EE551704}"/>
  <bookViews>
    <workbookView xWindow="-120" yWindow="-120" windowWidth="24000" windowHeight="17325" xr2:uid="{36834658-2493-4C59-8FA2-65E3C7F88A0F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6" i="1"/>
  <c r="I7" i="1"/>
  <c r="I8" i="1"/>
  <c r="I9" i="1"/>
  <c r="I10" i="1"/>
  <c r="I5" i="1"/>
  <c r="H3" i="1"/>
  <c r="H4" i="1" s="1"/>
  <c r="H5" i="1" s="1"/>
  <c r="H6" i="1" s="1"/>
  <c r="H7" i="1" s="1"/>
  <c r="H8" i="1" s="1"/>
  <c r="H9" i="1" s="1"/>
  <c r="E4" i="1" a="1"/>
  <c r="E4" i="1" l="1"/>
  <c r="H10" i="1"/>
  <c r="J3" i="1"/>
  <c r="E5" i="1" a="1"/>
  <c r="J4" i="1" l="1"/>
  <c r="E5" i="1"/>
  <c r="E6" i="1" a="1"/>
  <c r="J5" i="1" l="1"/>
  <c r="E6" i="1"/>
  <c r="E7" i="1" a="1"/>
  <c r="J6" i="1" l="1"/>
  <c r="E7" i="1"/>
  <c r="E8" i="1" a="1"/>
  <c r="J7" i="1" l="1"/>
  <c r="E8" i="1"/>
  <c r="J8" i="1" l="1"/>
  <c r="E9" i="1" a="1"/>
  <c r="E9" i="1" l="1"/>
  <c r="J9" i="1" l="1"/>
  <c r="E10" i="1"/>
  <c r="J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<sst xmlns="http://schemas.openxmlformats.org/spreadsheetml/2006/main" count="24" uniqueCount="19">
  <si>
    <t>Transaction Data</t>
  </si>
  <si>
    <t>Actuals</t>
  </si>
  <si>
    <t>Date</t>
  </si>
  <si>
    <t>Details</t>
  </si>
  <si>
    <t>Withdraw</t>
  </si>
  <si>
    <t>Deposit</t>
  </si>
  <si>
    <t>Balance</t>
  </si>
  <si>
    <t>Notes</t>
  </si>
  <si>
    <t>Start</t>
  </si>
  <si>
    <t>Forecast Start</t>
  </si>
  <si>
    <t>Sample Credit Card</t>
  </si>
  <si>
    <t>Sample Paycheck</t>
  </si>
  <si>
    <t>Plan Variance</t>
  </si>
  <si>
    <t>Withdraw (Plan)</t>
  </si>
  <si>
    <t>Deposit (Plan)</t>
  </si>
  <si>
    <t>Balance (Plan)</t>
  </si>
  <si>
    <t>Forecast Plan</t>
  </si>
  <si>
    <t>Unplanned Line</t>
  </si>
  <si>
    <t>Line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</si>
</sst>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4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4" fontId="2" fillId="2" borderId="1" xfId="0" applyNumberFormat="1" applyFont="1" applyFill="1" applyBorder="1" applyAlignment="1">
      <alignment horizontal="center"/>
    </xf>
    <xf numFmtId="44" fontId="2" fillId="2" borderId="3" xfId="0" applyNumberFormat="1" applyFont="1" applyFill="1" applyBorder="1" applyAlignment="1">
      <alignment horizontal="center"/>
    </xf>
    <xf numFmtId="44" fontId="2" fillId="2" borderId="2" xfId="0" applyNumberFormat="1" applyFont="1" applyFill="1" applyBorder="1" applyAlignment="1">
      <alignment horizontal="center"/>
    </xf>
    <xf numFmtId="44" fontId="3" fillId="2" borderId="4" xfId="1" applyFont="1" applyFill="1" applyBorder="1"/>
    <xf numFmtId="16" fontId="4" fillId="3" borderId="1" xfId="0" applyNumberFormat="1" applyFont="1" applyFill="1" applyBorder="1"/>
    <xf numFmtId="44" fontId="5" fillId="3" borderId="1" xfId="0" applyNumberFormat="1" applyFont="1" applyFill="1" applyBorder="1"/>
    <xf numFmtId="0" fontId="7" fillId="0" borderId="0" xfId="0" applyFont="1"/>
    <xf numFmtId="44" fontId="8" fillId="0" borderId="5" xfId="0" applyNumberFormat="1" applyFont="1" applyBorder="1"/>
    <xf numFmtId="0" fontId="9" fillId="0" borderId="5" xfId="0" applyFont="1" applyBorder="1"/>
    <xf numFmtId="0" fontId="0" fillId="0" borderId="0" xfId="0" applyFont="1"/>
    <xf numFmtId="0" fontId="9" fillId="3" borderId="5" xfId="0" applyFont="1" applyFill="1" applyBorder="1"/>
    <xf numFmtId="44" fontId="5" fillId="3" borderId="8" xfId="0" applyNumberFormat="1" applyFont="1" applyFill="1" applyBorder="1"/>
    <xf numFmtId="44" fontId="8" fillId="0" borderId="9" xfId="0" applyNumberFormat="1" applyFont="1" applyBorder="1"/>
    <xf numFmtId="4" fontId="4" fillId="3" borderId="2" xfId="1" applyNumberFormat="1" applyFont="1" applyFill="1" applyBorder="1"/>
    <xf numFmtId="4" fontId="7" fillId="3" borderId="6" xfId="1" applyNumberFormat="1" applyFont="1" applyFill="1" applyBorder="1"/>
    <xf numFmtId="44" fontId="4" fillId="3" borderId="10" xfId="0" applyNumberFormat="1" applyFont="1" applyFill="1" applyBorder="1"/>
    <xf numFmtId="44" fontId="7" fillId="0" borderId="11" xfId="0" applyNumberFormat="1" applyFont="1" applyBorder="1"/>
    <xf numFmtId="164" fontId="4" fillId="3" borderId="2" xfId="1" applyNumberFormat="1" applyFont="1" applyFill="1" applyBorder="1"/>
    <xf numFmtId="164" fontId="7" fillId="3" borderId="6" xfId="1" applyNumberFormat="1" applyFont="1" applyFill="1" applyBorder="1"/>
    <xf numFmtId="44" fontId="7" fillId="0" borderId="12" xfId="0" applyNumberFormat="1" applyFont="1" applyBorder="1"/>
    <xf numFmtId="16" fontId="7" fillId="0" borderId="13" xfId="0" applyNumberFormat="1" applyFont="1" applyBorder="1"/>
    <xf numFmtId="16" fontId="7" fillId="0" borderId="14" xfId="0" applyNumberFormat="1" applyFont="1" applyBorder="1"/>
    <xf numFmtId="16" fontId="7" fillId="3" borderId="14" xfId="0" applyNumberFormat="1" applyFont="1" applyFill="1" applyBorder="1"/>
    <xf numFmtId="0" fontId="4" fillId="3" borderId="15" xfId="0" applyFont="1" applyFill="1" applyBorder="1"/>
    <xf numFmtId="164" fontId="7" fillId="3" borderId="16" xfId="1" applyNumberFormat="1" applyFont="1" applyFill="1" applyBorder="1"/>
    <xf numFmtId="0" fontId="6" fillId="3" borderId="4" xfId="0" applyFont="1" applyFill="1" applyBorder="1"/>
    <xf numFmtId="0" fontId="10" fillId="2" borderId="0" xfId="0" applyFont="1" applyFill="1" applyBorder="1"/>
    <xf numFmtId="0" fontId="10" fillId="2" borderId="15" xfId="0" applyFont="1" applyFill="1" applyBorder="1"/>
    <xf numFmtId="44" fontId="10" fillId="2" borderId="5" xfId="0" applyNumberFormat="1" applyFont="1" applyFill="1" applyBorder="1"/>
    <xf numFmtId="44" fontId="10" fillId="2" borderId="10" xfId="0" applyNumberFormat="1" applyFont="1" applyFill="1" applyBorder="1"/>
    <xf numFmtId="4" fontId="10" fillId="2" borderId="15" xfId="0" applyNumberFormat="1" applyFont="1" applyFill="1" applyBorder="1"/>
    <xf numFmtId="44" fontId="10" fillId="2" borderId="17" xfId="0" applyNumberFormat="1" applyFont="1" applyFill="1" applyBorder="1"/>
    <xf numFmtId="44" fontId="11" fillId="2" borderId="5" xfId="1" applyFont="1" applyFill="1" applyBorder="1"/>
    <xf numFmtId="0" fontId="12" fillId="0" borderId="0" xfId="0" applyFont="1"/>
    <xf numFmtId="164" fontId="10" fillId="2" borderId="15" xfId="0" applyNumberFormat="1" applyFont="1" applyFill="1" applyBorder="1"/>
    <xf numFmtId="164" fontId="7" fillId="3" borderId="7" xfId="1" applyNumberFormat="1" applyFont="1" applyFill="1" applyBorder="1"/>
    <xf numFmtId="164" fontId="7" fillId="3" borderId="9" xfId="1" applyNumberFormat="1" applyFont="1" applyFill="1" applyBorder="1"/>
    <xf numFmtId="164" fontId="7" fillId="3" borderId="2" xfId="1" applyNumberFormat="1" applyFont="1" applyFill="1" applyBorder="1"/>
    <xf numFmtId="164" fontId="4" fillId="3" borderId="6" xfId="1" applyNumberFormat="1" applyFont="1" applyFill="1" applyBorder="1"/>
  </cellXfs>
  <cellStyles count="2">
    <cellStyle name="Currency" xfId="1" builtinId="4"/>
    <cellStyle name="Normal" xfId="0" builtinId="0"/>
  </cellStyles>
  <dxfs count="22">
    <dxf>
      <font>
        <b val="0"/>
        <i val="0"/>
        <strike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8" tint="0.59999389629810485"/>
        </patternFill>
      </fill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8" tint="0.59999389629810485"/>
        </patternFill>
      </fill>
      <border diagonalUp="0" diagonalDown="0" outline="0">
        <left style="dotted">
          <color indexed="64"/>
        </left>
        <right/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8" tint="0.59999389629810485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8" tint="0.59999389629810485"/>
        </patternFill>
      </fill>
      <border diagonalUp="0" diagonalDown="0" outline="0">
        <left style="dotted">
          <color indexed="64"/>
        </left>
        <right/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color rgb="FFFF0000"/>
      </font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i/>
      </font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2"/>
        <color rgb="FFFF0000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8" tint="0.59999389629810485"/>
        </patternFill>
      </fill>
      <border diagonalUp="0" diagonalDown="0">
        <left style="medium">
          <color indexed="64"/>
        </left>
        <right style="dotted">
          <color indexed="64"/>
        </right>
        <top/>
        <bottom/>
        <vertical/>
        <horizontal/>
      </border>
    </dxf>
    <dxf>
      <font>
        <color rgb="FFFF0000"/>
      </font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b val="0"/>
        <i val="0"/>
        <strike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21" formatCode="d\-mmm"/>
      <fill>
        <patternFill patternType="solid">
          <fgColor indexed="64"/>
          <bgColor theme="8" tint="0.59999389629810485"/>
        </patternFill>
      </fill>
    </dxf>
    <dxf>
      <border outline="0">
        <bottom style="medium">
          <color indexed="64"/>
        </bottom>
      </border>
    </dxf>
    <dxf>
      <border outline="0">
        <right style="medium">
          <color indexed="64"/>
        </righ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0B436-1647-46BB-A577-C8567A9F010E}" name="Table52" displayName="Table52" ref="A2:K10" totalsRowShown="0" headerRowDxfId="11" headerRowBorderDxfId="20" tableBorderDxfId="21">
  <autoFilter ref="A2:K10" xr:uid="{0B095FE6-F2C4-764D-88B6-0B5004C032EA}"/>
  <sortState xmlns:xlrd2="http://schemas.microsoft.com/office/spreadsheetml/2017/richdata2" ref="A3:K10">
    <sortCondition ref="A2:A10"/>
  </sortState>
  <tableColumns count="11">
    <tableColumn id="1" xr3:uid="{69ACF156-1C56-40A4-851A-FA87E30CFB78}" name="Date" dataDxfId="19"/>
    <tableColumn id="2" xr3:uid="{1FC567CB-FD27-4869-B4D5-C31CFE9F4A8C}" name="Details" dataDxfId="18"/>
    <tableColumn id="3" xr3:uid="{064FCFED-F13B-42B5-AB87-59A1F8CF634F}" name="Withdraw (Plan)" dataDxfId="12"/>
    <tableColumn id="4" xr3:uid="{42593690-D083-46A0-B071-A7D846A73819}" name="Deposit (Plan)" dataDxfId="1"/>
    <tableColumn id="5" xr3:uid="{BFBFB99D-5CCE-428B-ADEE-ABB97E048AFC}" name="Balance (Plan)" dataDxfId="2" dataCellStyle="Currency">
      <calculatedColumnFormula>E2-C3+D3</calculatedColumnFormula>
    </tableColumn>
    <tableColumn id="6" xr3:uid="{6A9BF196-9BF7-45BB-AE4B-ABFF3BB2E572}" name="Withdraw" dataDxfId="0"/>
    <tableColumn id="7" xr3:uid="{0167BE98-37EC-4EE0-8F31-CCE2DCC658D5}" name="Deposit" dataDxfId="4"/>
    <tableColumn id="8" xr3:uid="{6580116C-A38A-442A-9C66-9F1786CABC13}" name="Balance" dataDxfId="5" dataCellStyle="Currency">
      <calculatedColumnFormula>H2-F3+G3</calculatedColumnFormula>
    </tableColumn>
    <tableColumn id="11" xr3:uid="{E39A2D23-987E-4A37-9439-C6147A8D815B}" name="Line Variance" dataDxfId="3" dataCellStyle="Currency"/>
    <tableColumn id="9" xr3:uid="{A8FA47F7-5828-4BDB-8A5D-BBE624EDA828}" name="Plan Variance" dataDxfId="6" dataCellStyle="Currency">
      <calculatedColumnFormula>H3-E3</calculatedColumnFormula>
    </tableColumn>
    <tableColumn id="10" xr3:uid="{B403B322-8AD1-48CC-8F51-BFDBD29337EB}" name="Note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B9D3-5B13-42C4-96FD-78A1883DB084}">
  <dimension ref="A1:K21"/>
  <sheetViews>
    <sheetView tabSelected="1" zoomScaleNormal="150" zoomScaleSheetLayoutView="100" workbookViewId="0">
      <selection activeCell="D21" sqref="D21"/>
    </sheetView>
  </sheetViews>
  <sheetFormatPr defaultRowHeight="14.4" x14ac:dyDescent="0.3"/>
  <cols>
    <col min="1" max="1" width="9.44140625" bestFit="1" customWidth="1"/>
    <col min="2" max="2" width="18.77734375" bestFit="1" customWidth="1"/>
    <col min="3" max="3" width="23.77734375" bestFit="1" customWidth="1"/>
    <col min="4" max="4" width="21.77734375" bestFit="1" customWidth="1"/>
    <col min="5" max="5" width="20.21875" bestFit="1" customWidth="1"/>
    <col min="6" max="6" width="16.5546875" bestFit="1" customWidth="1"/>
    <col min="7" max="7" width="14.5546875" bestFit="1" customWidth="1"/>
    <col min="8" max="8" width="13" bestFit="1" customWidth="1"/>
    <col min="9" max="9" width="19" bestFit="1" customWidth="1"/>
    <col min="10" max="10" width="19.109375" bestFit="1" customWidth="1"/>
    <col min="11" max="11" width="15" bestFit="1" customWidth="1"/>
  </cols>
  <sheetData>
    <row r="1" spans="1:11" ht="18.600000000000001" customHeight="1" thickBot="1" x14ac:dyDescent="0.4">
      <c r="A1" s="1" t="s">
        <v>0</v>
      </c>
      <c r="B1" s="2"/>
      <c r="C1" s="3" t="s">
        <v>16</v>
      </c>
      <c r="D1" s="4"/>
      <c r="E1" s="5"/>
      <c r="F1" s="3" t="s">
        <v>1</v>
      </c>
      <c r="G1" s="4"/>
      <c r="H1" s="4"/>
      <c r="I1" s="4"/>
      <c r="J1" s="5"/>
      <c r="K1" s="6"/>
    </row>
    <row r="2" spans="1:11" s="36" customFormat="1" ht="18.600000000000001" thickBot="1" x14ac:dyDescent="0.4">
      <c r="A2" s="29" t="s">
        <v>2</v>
      </c>
      <c r="B2" s="30" t="s">
        <v>3</v>
      </c>
      <c r="C2" s="31" t="s">
        <v>13</v>
      </c>
      <c r="D2" s="32" t="s">
        <v>14</v>
      </c>
      <c r="E2" s="33" t="s">
        <v>15</v>
      </c>
      <c r="F2" s="31" t="s">
        <v>4</v>
      </c>
      <c r="G2" s="34" t="s">
        <v>5</v>
      </c>
      <c r="H2" s="30" t="s">
        <v>6</v>
      </c>
      <c r="I2" s="29" t="s">
        <v>18</v>
      </c>
      <c r="J2" s="37" t="s">
        <v>12</v>
      </c>
      <c r="K2" s="35" t="s">
        <v>7</v>
      </c>
    </row>
    <row r="3" spans="1:11" ht="16.2" thickBot="1" x14ac:dyDescent="0.35">
      <c r="A3" s="7">
        <v>45291</v>
      </c>
      <c r="B3" s="26" t="s">
        <v>8</v>
      </c>
      <c r="C3" s="14">
        <v>0</v>
      </c>
      <c r="D3" s="18">
        <v>0</v>
      </c>
      <c r="E3" s="16">
        <v>2000</v>
      </c>
      <c r="F3" s="8">
        <v>0</v>
      </c>
      <c r="G3" s="18">
        <v>0</v>
      </c>
      <c r="H3" s="40">
        <f>E3</f>
        <v>2000</v>
      </c>
      <c r="I3" s="14">
        <v>0</v>
      </c>
      <c r="J3" s="20">
        <f>H3-E3</f>
        <v>0</v>
      </c>
      <c r="K3" s="28" t="s">
        <v>9</v>
      </c>
    </row>
    <row r="4" spans="1:11" s="12" customFormat="1" ht="15.6" x14ac:dyDescent="0.3">
      <c r="A4" s="23">
        <v>45292</v>
      </c>
      <c r="B4" s="9" t="s">
        <v>10</v>
      </c>
      <c r="C4" s="15">
        <v>900</v>
      </c>
      <c r="D4" s="19">
        <v>0</v>
      </c>
      <c r="E4" s="17" cm="1">
        <f t="array" aca="1" ref="E4" ca="1">(INDIRECT(ADDRESS(ROW()-1,COLUMN())))-(INDIRECT(ADDRESS(ROW(),COLUMN()-2)))+(INDIRECT(ADDRESS(ROW(),COLUMN()-1)))</f>
        <v>1100</v>
      </c>
      <c r="F4" s="10">
        <v>800</v>
      </c>
      <c r="G4" s="19">
        <v>0</v>
      </c>
      <c r="H4" s="21">
        <f>H3-F4+G4</f>
        <v>1200</v>
      </c>
      <c r="I4" s="38">
        <f>Table52[[#This Row],[Withdraw]]-Table52[[#This Row],[Withdraw (Plan)]]+Table52[[#This Row],[Deposit]]-Table52[[#This Row],[Deposit (Plan)]]</f>
        <v>-100</v>
      </c>
      <c r="J4" s="41">
        <f ca="1">H4-E4</f>
        <v>100</v>
      </c>
      <c r="K4" s="11"/>
    </row>
    <row r="5" spans="1:11" s="12" customFormat="1" ht="15.6" x14ac:dyDescent="0.3">
      <c r="A5" s="24">
        <v>45296</v>
      </c>
      <c r="B5" s="9" t="s">
        <v>11</v>
      </c>
      <c r="C5" s="15">
        <v>0</v>
      </c>
      <c r="D5" s="19">
        <v>1000</v>
      </c>
      <c r="E5" s="17" cm="1">
        <f t="array" aca="1" ref="E5" ca="1">(INDIRECT(ADDRESS(ROW()-1,COLUMN())))-(INDIRECT(ADDRESS(ROW(),COLUMN()-2)))+(INDIRECT(ADDRESS(ROW(),COLUMN()-1)))</f>
        <v>2100</v>
      </c>
      <c r="F5" s="10">
        <v>0</v>
      </c>
      <c r="G5" s="19">
        <v>900</v>
      </c>
      <c r="H5" s="27">
        <f>H4-F5+G5</f>
        <v>2100</v>
      </c>
      <c r="I5" s="39">
        <f>Table52[[#This Row],[Withdraw]]-Table52[[#This Row],[Withdraw (Plan)]]+Table52[[#This Row],[Deposit]]-Table52[[#This Row],[Deposit (Plan)]]</f>
        <v>-100</v>
      </c>
      <c r="J5" s="41">
        <f ca="1">H5-E5</f>
        <v>0</v>
      </c>
      <c r="K5" s="11"/>
    </row>
    <row r="6" spans="1:11" s="12" customFormat="1" ht="15.6" x14ac:dyDescent="0.3">
      <c r="A6" s="25">
        <v>45323</v>
      </c>
      <c r="B6" s="9" t="s">
        <v>10</v>
      </c>
      <c r="C6" s="15">
        <v>900</v>
      </c>
      <c r="D6" s="19">
        <v>0</v>
      </c>
      <c r="E6" s="17" cm="1">
        <f t="array" aca="1" ref="E6" ca="1">(INDIRECT(ADDRESS(ROW()-1,COLUMN())))-(INDIRECT(ADDRESS(ROW(),COLUMN()-2)))+(INDIRECT(ADDRESS(ROW(),COLUMN()-1)))</f>
        <v>1200</v>
      </c>
      <c r="F6" s="10">
        <v>800</v>
      </c>
      <c r="G6" s="19">
        <v>0</v>
      </c>
      <c r="H6" s="21">
        <f>H5-F6+G6</f>
        <v>1300</v>
      </c>
      <c r="I6" s="39">
        <f>Table52[[#This Row],[Withdraw]]-Table52[[#This Row],[Withdraw (Plan)]]+Table52[[#This Row],[Deposit]]-Table52[[#This Row],[Deposit (Plan)]]</f>
        <v>-100</v>
      </c>
      <c r="J6" s="41">
        <f ca="1">H6-E6</f>
        <v>100</v>
      </c>
      <c r="K6" s="13"/>
    </row>
    <row r="7" spans="1:11" s="12" customFormat="1" ht="15.6" x14ac:dyDescent="0.3">
      <c r="A7" s="25">
        <v>45324</v>
      </c>
      <c r="B7" s="9" t="s">
        <v>11</v>
      </c>
      <c r="C7" s="15">
        <v>0</v>
      </c>
      <c r="D7" s="19">
        <v>1000</v>
      </c>
      <c r="E7" s="17" cm="1">
        <f t="array" aca="1" ref="E7" ca="1">(INDIRECT(ADDRESS(ROW()-1,COLUMN())))-(INDIRECT(ADDRESS(ROW(),COLUMN()-2)))+(INDIRECT(ADDRESS(ROW(),COLUMN()-1)))</f>
        <v>2200</v>
      </c>
      <c r="F7" s="10">
        <v>0</v>
      </c>
      <c r="G7" s="19">
        <v>1200</v>
      </c>
      <c r="H7" s="21">
        <f>H6-F7+G7</f>
        <v>2500</v>
      </c>
      <c r="I7" s="39">
        <f>Table52[[#This Row],[Withdraw]]-Table52[[#This Row],[Withdraw (Plan)]]+Table52[[#This Row],[Deposit]]-Table52[[#This Row],[Deposit (Plan)]]</f>
        <v>200</v>
      </c>
      <c r="J7" s="41">
        <f ca="1">H7-E7</f>
        <v>300</v>
      </c>
      <c r="K7" s="13"/>
    </row>
    <row r="8" spans="1:11" s="12" customFormat="1" ht="15.6" x14ac:dyDescent="0.3">
      <c r="A8" s="25">
        <v>45354</v>
      </c>
      <c r="B8" s="9" t="s">
        <v>10</v>
      </c>
      <c r="C8" s="15">
        <v>900</v>
      </c>
      <c r="D8" s="19">
        <v>0</v>
      </c>
      <c r="E8" s="17" cm="1">
        <f t="array" aca="1" ref="E8" ca="1">(INDIRECT(ADDRESS(ROW()-1,COLUMN())))-(INDIRECT(ADDRESS(ROW(),COLUMN()-2)))+(INDIRECT(ADDRESS(ROW(),COLUMN()-1)))</f>
        <v>1300</v>
      </c>
      <c r="F8" s="10">
        <v>950</v>
      </c>
      <c r="G8" s="19">
        <v>0</v>
      </c>
      <c r="H8" s="21">
        <f>H7-F8+G8</f>
        <v>1550</v>
      </c>
      <c r="I8" s="39">
        <f>Table52[[#This Row],[Withdraw]]-Table52[[#This Row],[Withdraw (Plan)]]+Table52[[#This Row],[Deposit]]-Table52[[#This Row],[Deposit (Plan)]]</f>
        <v>50</v>
      </c>
      <c r="J8" s="41">
        <f ca="1">H8-E8</f>
        <v>250</v>
      </c>
      <c r="K8" s="13"/>
    </row>
    <row r="9" spans="1:11" s="12" customFormat="1" ht="15.6" x14ac:dyDescent="0.3">
      <c r="A9" s="25">
        <v>45355</v>
      </c>
      <c r="B9" s="9" t="s">
        <v>11</v>
      </c>
      <c r="C9" s="15">
        <v>0</v>
      </c>
      <c r="D9" s="19">
        <v>1000</v>
      </c>
      <c r="E9" s="17" cm="1">
        <f t="array" aca="1" ref="E9" ca="1">(INDIRECT(ADDRESS(ROW()-1,COLUMN())))-(INDIRECT(ADDRESS(ROW(),COLUMN()-2)))+(INDIRECT(ADDRESS(ROW(),COLUMN()-1)))</f>
        <v>2300</v>
      </c>
      <c r="F9" s="10">
        <v>0</v>
      </c>
      <c r="G9" s="19">
        <v>900</v>
      </c>
      <c r="H9" s="21">
        <f>H7-F9+G9</f>
        <v>3400</v>
      </c>
      <c r="I9" s="39">
        <f>Table52[[#This Row],[Withdraw]]-Table52[[#This Row],[Withdraw (Plan)]]+Table52[[#This Row],[Deposit]]-Table52[[#This Row],[Deposit (Plan)]]</f>
        <v>-100</v>
      </c>
      <c r="J9" s="41">
        <f ca="1">H9-E9</f>
        <v>1100</v>
      </c>
      <c r="K9" s="13"/>
    </row>
    <row r="10" spans="1:11" s="12" customFormat="1" ht="15.6" x14ac:dyDescent="0.3">
      <c r="A10" s="25">
        <v>45357</v>
      </c>
      <c r="B10" s="9" t="s">
        <v>17</v>
      </c>
      <c r="C10" s="15">
        <v>0</v>
      </c>
      <c r="D10" s="19">
        <v>0</v>
      </c>
      <c r="E10" s="17">
        <f ca="1">E9-C10+D10</f>
        <v>2300</v>
      </c>
      <c r="F10" s="10">
        <v>0</v>
      </c>
      <c r="G10" s="22">
        <v>10</v>
      </c>
      <c r="H10" s="21">
        <f>H9-F10+G10</f>
        <v>3410</v>
      </c>
      <c r="I10" s="39">
        <f>Table52[[#This Row],[Withdraw]]-Table52[[#This Row],[Withdraw (Plan)]]+Table52[[#This Row],[Deposit]]-Table52[[#This Row],[Deposit (Plan)]]</f>
        <v>10</v>
      </c>
      <c r="J10" s="41">
        <f ca="1">H10-E10</f>
        <v>1110</v>
      </c>
      <c r="K10" s="13" t="s">
        <v>17</v>
      </c>
    </row>
    <row r="11" spans="1:11" s="12" customFormat="1" x14ac:dyDescent="0.3"/>
    <row r="12" spans="1:11" s="12" customFormat="1" x14ac:dyDescent="0.3"/>
    <row r="13" spans="1:11" s="12" customFormat="1" x14ac:dyDescent="0.3"/>
    <row r="14" spans="1:11" s="12" customFormat="1" x14ac:dyDescent="0.3"/>
    <row r="15" spans="1:11" s="12" customFormat="1" x14ac:dyDescent="0.3"/>
    <row r="16" spans="1:11" s="12" customFormat="1" x14ac:dyDescent="0.3"/>
    <row r="17" s="12" customFormat="1" x14ac:dyDescent="0.3"/>
    <row r="18" s="12" customFormat="1" x14ac:dyDescent="0.3"/>
    <row r="19" s="12" customFormat="1" x14ac:dyDescent="0.3"/>
    <row r="20" s="12" customFormat="1" x14ac:dyDescent="0.3"/>
    <row r="21" s="12" customFormat="1" x14ac:dyDescent="0.3"/>
  </sheetData>
  <mergeCells count="3">
    <mergeCell ref="A1:B1"/>
    <mergeCell ref="C1:E1"/>
    <mergeCell ref="F1:J1"/>
  </mergeCells>
  <conditionalFormatting sqref="A2:K10">
    <cfRule type="expression" dxfId="10" priority="2">
      <formula>OR((MONTH($A2)=2),(MONTH($A2)=4),(MONTH($A2)=6),(MONTH($A2)=8),(MONTH($A2)=10),(MONTH($A2)=12))</formula>
    </cfRule>
    <cfRule type="expression" dxfId="9" priority="3">
      <formula>OR((MONTH($A2)=1),(MONTH($A2)=3),(MONTH($A2)=5),(MONTH($A2)=7),(MONTH($A2)=9),(MONTH($A2)=11))</formula>
    </cfRule>
  </conditionalFormatting>
  <conditionalFormatting sqref="E1:E10 H1:J10">
    <cfRule type="cellIs" dxfId="8" priority="1" operator="lessThanOrEqual">
      <formula>0</formula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CA96C4EED1334F929587036BEF6DDF" ma:contentTypeVersion="8" ma:contentTypeDescription="Create a new document." ma:contentTypeScope="" ma:versionID="e98c831146e06202b9e0e86dcfa9aa6a">
  <xsd:schema xmlns:xsd="http://www.w3.org/2001/XMLSchema" xmlns:xs="http://www.w3.org/2001/XMLSchema" xmlns:p="http://schemas.microsoft.com/office/2006/metadata/properties" xmlns:ns2="3210acf0-8669-45b6-9fad-8983063f633f" targetNamespace="http://schemas.microsoft.com/office/2006/metadata/properties" ma:root="true" ma:fieldsID="e0857067bb77ef1b8170a0d28cef9214" ns2:_="">
    <xsd:import namespace="3210acf0-8669-45b6-9fad-8983063f6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0acf0-8669-45b6-9fad-8983063f6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69B3CA-38D7-47C1-B291-BAE9D1CCC075}"/>
</file>

<file path=customXml/itemProps2.xml><?xml version="1.0" encoding="utf-8"?>
<ds:datastoreItem xmlns:ds="http://schemas.openxmlformats.org/officeDocument/2006/customXml" ds:itemID="{F5A0DD47-40F4-4B50-98C3-D73713CD99C9}"/>
</file>

<file path=customXml/itemProps3.xml><?xml version="1.0" encoding="utf-8"?>
<ds:datastoreItem xmlns:ds="http://schemas.openxmlformats.org/officeDocument/2006/customXml" ds:itemID="{B816E077-9083-443A-A3D8-43C4014760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Kolakowski</dc:creator>
  <cp:lastModifiedBy>Matthew Kolakowski</cp:lastModifiedBy>
  <dcterms:created xsi:type="dcterms:W3CDTF">2024-05-28T13:23:10Z</dcterms:created>
  <dcterms:modified xsi:type="dcterms:W3CDTF">2024-05-28T13:52:36Z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0x01010055CA96C4EED1334F929587036BEF6DDF</vt:lpwstr>
  </property>
</Properties>
</file>